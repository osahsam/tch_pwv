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ATMOSPHERE data\TROPOSPHERE data\DATA ANALYTICs\AFRICA\PWV analysis\2. 3CH Analysis\Statistics\"/>
    </mc:Choice>
  </mc:AlternateContent>
  <xr:revisionPtr revIDLastSave="0" documentId="13_ncr:1_{46E76267-23D9-472C-A8A2-693ACF23A328}" xr6:coauthVersionLast="47" xr6:coauthVersionMax="47" xr10:uidLastSave="{00000000-0000-0000-0000-000000000000}"/>
  <bookViews>
    <workbookView xWindow="-120" yWindow="-120" windowWidth="29040" windowHeight="15720" xr2:uid="{34414296-9F60-492D-8041-2C5881896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F34" i="1"/>
  <c r="G34" i="1"/>
  <c r="H34" i="1"/>
  <c r="I34" i="1"/>
  <c r="J34" i="1"/>
  <c r="K34" i="1"/>
  <c r="L34" i="1"/>
  <c r="M34" i="1"/>
  <c r="N34" i="1"/>
  <c r="O34" i="1"/>
  <c r="P34" i="1"/>
  <c r="Q34" i="1"/>
</calcChain>
</file>

<file path=xl/sharedStrings.xml><?xml version="1.0" encoding="utf-8"?>
<sst xmlns="http://schemas.openxmlformats.org/spreadsheetml/2006/main" count="54" uniqueCount="54">
  <si>
    <t>STN</t>
  </si>
  <si>
    <t>LAT</t>
  </si>
  <si>
    <t>LON</t>
  </si>
  <si>
    <t>H</t>
  </si>
  <si>
    <t>RMSE(IGSvsERA5)</t>
  </si>
  <si>
    <t>RMSE(VMF3vsERA5)</t>
  </si>
  <si>
    <t>R(VMF3vsERA5)</t>
  </si>
  <si>
    <t>ABPO</t>
  </si>
  <si>
    <t>ADIS</t>
  </si>
  <si>
    <t>BJCO</t>
  </si>
  <si>
    <t>CGGN</t>
  </si>
  <si>
    <t>CPVG</t>
  </si>
  <si>
    <t>DAKR</t>
  </si>
  <si>
    <t>DEAR</t>
  </si>
  <si>
    <t>DJIG</t>
  </si>
  <si>
    <t>HARB</t>
  </si>
  <si>
    <t>HNUS</t>
  </si>
  <si>
    <t>HRAO</t>
  </si>
  <si>
    <t>MAL2</t>
  </si>
  <si>
    <t>MBAR</t>
  </si>
  <si>
    <t>MFKG</t>
  </si>
  <si>
    <t>MOIU</t>
  </si>
  <si>
    <t>NKLG</t>
  </si>
  <si>
    <t>NURK</t>
  </si>
  <si>
    <t>RABT</t>
  </si>
  <si>
    <t>RBAY</t>
  </si>
  <si>
    <t>RCMN</t>
  </si>
  <si>
    <t>SBOK</t>
  </si>
  <si>
    <t>SEY2</t>
  </si>
  <si>
    <t>SEYG</t>
  </si>
  <si>
    <t>SUTH</t>
  </si>
  <si>
    <t>SUTM</t>
  </si>
  <si>
    <t>TDOU</t>
  </si>
  <si>
    <t>ULDI</t>
  </si>
  <si>
    <t>VACS</t>
  </si>
  <si>
    <t>WIND</t>
  </si>
  <si>
    <t>YKRO</t>
  </si>
  <si>
    <t>ZAMB</t>
  </si>
  <si>
    <t>R(IGSvsERA5)</t>
  </si>
  <si>
    <t>COORDINATES</t>
  </si>
  <si>
    <t>STATIONS</t>
  </si>
  <si>
    <t>EXTENDED TRIPLE COLLOCATION (ETC) ANALYSIS</t>
  </si>
  <si>
    <t>R_era5(etc)</t>
  </si>
  <si>
    <t>R_vmf3(etc)</t>
  </si>
  <si>
    <t>RMSEigs(etc)</t>
  </si>
  <si>
    <t>RMSEera5(etc)</t>
  </si>
  <si>
    <t>R_igs(etc)</t>
  </si>
  <si>
    <t>RMSEvmf3(etc)</t>
  </si>
  <si>
    <t>RMSEigs(3ch)</t>
  </si>
  <si>
    <t>RMSEera5(3ch)</t>
  </si>
  <si>
    <t>RMSEvmf3(3ch)</t>
  </si>
  <si>
    <t>DIRECT  COMPARISON BETWEEN GNSS(IGS), ERA5, and VMF3</t>
  </si>
  <si>
    <t>THREE-CORNERED HAT (3CH) ANALYSIS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</si>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</sst>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2894-B387-459D-92F0-630B170358DA}">
  <dimension ref="A1:Q34"/>
  <sheetViews>
    <sheetView tabSelected="1" workbookViewId="0">
      <selection activeCell="F8" sqref="F8"/>
    </sheetView>
  </sheetViews>
  <sheetFormatPr defaultRowHeight="15" x14ac:dyDescent="0.25"/>
  <cols>
    <col min="1" max="4" width="9.140625" style="2"/>
    <col min="5" max="5" width="17.140625" style="2" customWidth="1"/>
    <col min="6" max="6" width="16.140625" style="2" customWidth="1"/>
    <col min="7" max="7" width="17.28515625" style="2" customWidth="1"/>
    <col min="8" max="8" width="13.140625" style="2" customWidth="1"/>
    <col min="9" max="9" width="17.42578125" style="2" customWidth="1"/>
    <col min="10" max="10" width="14.5703125" style="2" customWidth="1"/>
    <col min="11" max="12" width="17.42578125" style="2" customWidth="1"/>
    <col min="13" max="13" width="15.85546875" style="2" customWidth="1"/>
    <col min="14" max="14" width="20.5703125" style="2" customWidth="1"/>
    <col min="15" max="15" width="19.5703125" style="2" customWidth="1"/>
    <col min="16" max="16" width="17.140625" style="2" customWidth="1"/>
    <col min="17" max="17" width="17.42578125" style="2" customWidth="1"/>
  </cols>
  <sheetData>
    <row r="1" spans="1:17" x14ac:dyDescent="0.25">
      <c r="A1" s="2" t="s">
        <v>40</v>
      </c>
      <c r="B1" s="8" t="s">
        <v>39</v>
      </c>
      <c r="C1" s="8"/>
      <c r="D1" s="8"/>
      <c r="E1" s="8" t="s">
        <v>52</v>
      </c>
      <c r="F1" s="8"/>
      <c r="G1" s="8"/>
      <c r="H1" s="8" t="s">
        <v>41</v>
      </c>
      <c r="I1" s="8"/>
      <c r="J1" s="8"/>
      <c r="K1" s="8"/>
      <c r="L1" s="8"/>
      <c r="M1" s="8"/>
      <c r="N1" s="8" t="s">
        <v>51</v>
      </c>
      <c r="O1" s="8"/>
      <c r="P1" s="8"/>
      <c r="Q1" s="8"/>
    </row>
    <row r="2" spans="1:1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48</v>
      </c>
      <c r="F2" s="2" t="s">
        <v>49</v>
      </c>
      <c r="G2" s="2" t="s">
        <v>50</v>
      </c>
      <c r="H2" s="2" t="s">
        <v>44</v>
      </c>
      <c r="I2" s="2" t="s">
        <v>45</v>
      </c>
      <c r="J2" s="2" t="s">
        <v>47</v>
      </c>
      <c r="K2" s="2" t="s">
        <v>46</v>
      </c>
      <c r="L2" s="2" t="s">
        <v>42</v>
      </c>
      <c r="M2" s="2" t="s">
        <v>43</v>
      </c>
      <c r="N2" s="2" t="s">
        <v>4</v>
      </c>
      <c r="O2" s="2" t="s">
        <v>5</v>
      </c>
      <c r="P2" s="2" t="s">
        <v>38</v>
      </c>
      <c r="Q2" s="2" t="s">
        <v>6</v>
      </c>
    </row>
    <row r="3" spans="1:17" x14ac:dyDescent="0.25">
      <c r="A3" s="2" t="s">
        <v>7</v>
      </c>
      <c r="B3" s="2">
        <v>-19.018000000000001</v>
      </c>
      <c r="C3" s="2">
        <v>47.228999999999999</v>
      </c>
      <c r="D3" s="2">
        <v>1552.992</v>
      </c>
      <c r="E3" s="4">
        <v>1.31</v>
      </c>
      <c r="F3" s="4">
        <v>0.79</v>
      </c>
      <c r="G3" s="4">
        <v>0.93</v>
      </c>
      <c r="H3" s="5">
        <v>1.31</v>
      </c>
      <c r="I3" s="5">
        <v>0.79</v>
      </c>
      <c r="J3" s="5">
        <v>0.92</v>
      </c>
      <c r="K3" s="3">
        <v>0.9889</v>
      </c>
      <c r="L3" s="3">
        <v>0.996</v>
      </c>
      <c r="M3" s="3">
        <v>0.99439999999999995</v>
      </c>
      <c r="N3" s="4">
        <v>1.66</v>
      </c>
      <c r="O3" s="4">
        <v>1.22</v>
      </c>
      <c r="P3" s="3">
        <v>0.9849</v>
      </c>
      <c r="Q3" s="3">
        <v>0.99039999999999995</v>
      </c>
    </row>
    <row r="4" spans="1:17" x14ac:dyDescent="0.25">
      <c r="A4" s="2" t="s">
        <v>8</v>
      </c>
      <c r="B4" s="2">
        <v>9.0350000000000001</v>
      </c>
      <c r="C4" s="2">
        <v>38.765999999999998</v>
      </c>
      <c r="D4" s="2">
        <v>2439.154</v>
      </c>
      <c r="E4" s="4">
        <v>1.1499999999999999</v>
      </c>
      <c r="F4" s="4">
        <v>0.71</v>
      </c>
      <c r="G4" s="4">
        <v>0.49</v>
      </c>
      <c r="H4" s="5">
        <v>1.1499999999999999</v>
      </c>
      <c r="I4" s="5">
        <v>0.71</v>
      </c>
      <c r="J4" s="5">
        <v>0.48</v>
      </c>
      <c r="K4" s="3">
        <v>0.97670000000000001</v>
      </c>
      <c r="L4" s="3">
        <v>0.99099999999999999</v>
      </c>
      <c r="M4" s="3">
        <v>0.99580000000000002</v>
      </c>
      <c r="N4" s="4">
        <v>1.35</v>
      </c>
      <c r="O4" s="4">
        <v>1.08</v>
      </c>
      <c r="P4" s="3">
        <v>0.96789999999999998</v>
      </c>
      <c r="Q4" s="3">
        <v>0.98680000000000001</v>
      </c>
    </row>
    <row r="5" spans="1:17" x14ac:dyDescent="0.25">
      <c r="A5" s="2" t="s">
        <v>9</v>
      </c>
      <c r="B5" s="2">
        <v>6.3849999999999998</v>
      </c>
      <c r="C5" s="2">
        <v>2.4500000000000002</v>
      </c>
      <c r="D5" s="2">
        <v>30.7</v>
      </c>
      <c r="E5" s="4">
        <v>1.64</v>
      </c>
      <c r="F5" s="4">
        <v>1.05</v>
      </c>
      <c r="G5" s="4">
        <v>0.88</v>
      </c>
      <c r="H5" s="5">
        <v>1.65</v>
      </c>
      <c r="I5" s="5">
        <v>1.03</v>
      </c>
      <c r="J5" s="5">
        <v>0.71</v>
      </c>
      <c r="K5" s="3">
        <v>0.98050000000000004</v>
      </c>
      <c r="L5" s="3">
        <v>0.99209999999999998</v>
      </c>
      <c r="M5" s="3">
        <v>0.99670000000000003</v>
      </c>
      <c r="N5" s="4">
        <v>1.99</v>
      </c>
      <c r="O5" s="4">
        <v>1.47</v>
      </c>
      <c r="P5" s="3">
        <v>0.9728</v>
      </c>
      <c r="Q5" s="3">
        <v>0.98880000000000001</v>
      </c>
    </row>
    <row r="6" spans="1:17" x14ac:dyDescent="0.25">
      <c r="A6" s="2" t="s">
        <v>10</v>
      </c>
      <c r="B6" s="2">
        <v>10.122999999999999</v>
      </c>
      <c r="C6" s="2">
        <v>9.1180000000000003</v>
      </c>
      <c r="D6" s="2">
        <v>916.69500000000005</v>
      </c>
      <c r="E6" s="4">
        <v>2.0499999999999998</v>
      </c>
      <c r="F6" s="4">
        <v>0.5</v>
      </c>
      <c r="G6" s="4">
        <v>0.95</v>
      </c>
      <c r="H6" s="5">
        <v>2.04</v>
      </c>
      <c r="I6" s="5">
        <v>0.49</v>
      </c>
      <c r="J6" s="5">
        <v>0.95</v>
      </c>
      <c r="K6" s="3">
        <v>0.98670000000000002</v>
      </c>
      <c r="L6" s="3">
        <v>0.99919999999999998</v>
      </c>
      <c r="M6" s="3">
        <v>0.99709999999999999</v>
      </c>
      <c r="N6" s="4">
        <v>2.16</v>
      </c>
      <c r="O6" s="4">
        <v>1.1100000000000001</v>
      </c>
      <c r="P6" s="3">
        <v>0.9859</v>
      </c>
      <c r="Q6" s="3">
        <v>0.99639999999999995</v>
      </c>
    </row>
    <row r="7" spans="1:17" x14ac:dyDescent="0.25">
      <c r="A7" s="2" t="s">
        <v>11</v>
      </c>
      <c r="B7" s="2">
        <v>16.731999999999999</v>
      </c>
      <c r="C7" s="2">
        <v>-22.934999999999999</v>
      </c>
      <c r="D7" s="2">
        <v>94.088999999999999</v>
      </c>
      <c r="E7" s="4">
        <v>0.78</v>
      </c>
      <c r="F7" s="4">
        <v>0.69</v>
      </c>
      <c r="G7" s="4">
        <v>0.88</v>
      </c>
      <c r="H7" s="5">
        <v>0.78</v>
      </c>
      <c r="I7" s="5">
        <v>0.69</v>
      </c>
      <c r="J7" s="5">
        <v>0.87</v>
      </c>
      <c r="K7" s="3">
        <v>0.99750000000000005</v>
      </c>
      <c r="L7" s="3">
        <v>0.998</v>
      </c>
      <c r="M7" s="3">
        <v>0.99690000000000001</v>
      </c>
      <c r="N7" s="4">
        <v>1.17</v>
      </c>
      <c r="O7" s="4">
        <v>1.1100000000000001</v>
      </c>
      <c r="P7" s="3">
        <v>0.99560000000000004</v>
      </c>
      <c r="Q7" s="3">
        <v>0.995</v>
      </c>
    </row>
    <row r="8" spans="1:17" x14ac:dyDescent="0.25">
      <c r="A8" s="2" t="s">
        <v>12</v>
      </c>
      <c r="B8" s="2">
        <v>14.721</v>
      </c>
      <c r="C8" s="2">
        <v>-17.439</v>
      </c>
      <c r="D8" s="2">
        <v>51</v>
      </c>
      <c r="E8" s="4">
        <v>1.23</v>
      </c>
      <c r="F8" s="4">
        <v>0.64</v>
      </c>
      <c r="G8" s="4">
        <v>0.9</v>
      </c>
      <c r="H8" s="5">
        <v>1.2</v>
      </c>
      <c r="I8" s="5">
        <v>0.57999999999999996</v>
      </c>
      <c r="J8" s="5">
        <v>0.92</v>
      </c>
      <c r="K8" s="3">
        <v>0.99619999999999997</v>
      </c>
      <c r="L8" s="3">
        <v>0.99919999999999998</v>
      </c>
      <c r="M8" s="3">
        <v>0.99790000000000001</v>
      </c>
      <c r="N8" s="4">
        <v>1.39</v>
      </c>
      <c r="O8" s="4">
        <v>1.17</v>
      </c>
      <c r="P8" s="3">
        <v>0.99539999999999995</v>
      </c>
      <c r="Q8" s="3">
        <v>0.997</v>
      </c>
    </row>
    <row r="9" spans="1:17" x14ac:dyDescent="0.25">
      <c r="A9" s="2" t="s">
        <v>13</v>
      </c>
      <c r="B9" s="2">
        <v>-30.664999999999999</v>
      </c>
      <c r="C9" s="2">
        <v>23.992999999999999</v>
      </c>
      <c r="D9" s="2">
        <v>1321.7</v>
      </c>
      <c r="E9" s="4">
        <v>1.19</v>
      </c>
      <c r="F9" s="4">
        <v>0.44</v>
      </c>
      <c r="G9" s="4">
        <v>0.68</v>
      </c>
      <c r="H9" s="5">
        <v>1.19</v>
      </c>
      <c r="I9" s="5">
        <v>0.45</v>
      </c>
      <c r="J9" s="5">
        <v>0.67</v>
      </c>
      <c r="K9" s="3">
        <v>0.98309999999999997</v>
      </c>
      <c r="L9" s="3">
        <v>0.99739999999999995</v>
      </c>
      <c r="M9" s="3">
        <v>0.99419999999999997</v>
      </c>
      <c r="N9" s="4">
        <v>1.38</v>
      </c>
      <c r="O9" s="4">
        <v>0.81</v>
      </c>
      <c r="P9" s="3">
        <v>0.98050000000000004</v>
      </c>
      <c r="Q9" s="3">
        <v>0.99170000000000003</v>
      </c>
    </row>
    <row r="10" spans="1:17" x14ac:dyDescent="0.25">
      <c r="A10" s="2" t="s">
        <v>14</v>
      </c>
      <c r="B10" s="2">
        <v>11.526</v>
      </c>
      <c r="C10" s="2">
        <v>42.847000000000001</v>
      </c>
      <c r="D10" s="2">
        <v>711.40899999999999</v>
      </c>
      <c r="E10" s="4">
        <v>1.94</v>
      </c>
      <c r="F10" s="4">
        <v>1.48</v>
      </c>
      <c r="G10" s="4">
        <v>0.1</v>
      </c>
      <c r="H10" s="5">
        <v>1.57</v>
      </c>
      <c r="I10" s="5">
        <v>1.34</v>
      </c>
      <c r="J10" s="5">
        <v>0.21</v>
      </c>
      <c r="K10" s="3">
        <v>0.70109999999999995</v>
      </c>
      <c r="L10" s="3">
        <v>0.91</v>
      </c>
      <c r="M10" s="3">
        <v>0.99670000000000003</v>
      </c>
      <c r="N10" s="4">
        <v>3.27</v>
      </c>
      <c r="O10" s="4">
        <v>1.71</v>
      </c>
      <c r="P10" s="3">
        <v>0.63800000000000001</v>
      </c>
      <c r="Q10" s="3">
        <v>0.90700000000000003</v>
      </c>
    </row>
    <row r="11" spans="1:17" x14ac:dyDescent="0.25">
      <c r="A11" s="2" t="s">
        <v>15</v>
      </c>
      <c r="B11" s="2">
        <v>-25.887</v>
      </c>
      <c r="C11" s="2">
        <v>27.707000000000001</v>
      </c>
      <c r="D11" s="2">
        <v>1558.078</v>
      </c>
      <c r="E11" s="4">
        <v>1.0900000000000001</v>
      </c>
      <c r="F11" s="4">
        <v>0.54</v>
      </c>
      <c r="G11" s="4">
        <v>0.76</v>
      </c>
      <c r="H11" s="5">
        <v>1.0900000000000001</v>
      </c>
      <c r="I11" s="5">
        <v>0.55000000000000004</v>
      </c>
      <c r="J11" s="5">
        <v>0.73</v>
      </c>
      <c r="K11" s="3">
        <v>0.99150000000000005</v>
      </c>
      <c r="L11" s="3">
        <v>0.99780000000000002</v>
      </c>
      <c r="M11" s="3">
        <v>0.99590000000000001</v>
      </c>
      <c r="N11" s="4">
        <v>1.26</v>
      </c>
      <c r="O11" s="4">
        <v>1.01</v>
      </c>
      <c r="P11" s="3">
        <v>0.98929999999999996</v>
      </c>
      <c r="Q11" s="3">
        <v>0.99370000000000003</v>
      </c>
    </row>
    <row r="12" spans="1:17" x14ac:dyDescent="0.25">
      <c r="A12" s="2" t="s">
        <v>16</v>
      </c>
      <c r="B12" s="2">
        <v>-34.424999999999997</v>
      </c>
      <c r="C12" s="2">
        <v>19.222999999999999</v>
      </c>
      <c r="D12" s="2">
        <v>63</v>
      </c>
      <c r="E12" s="4">
        <v>1.45</v>
      </c>
      <c r="F12" s="4">
        <v>0.45</v>
      </c>
      <c r="G12" s="4">
        <v>0.79</v>
      </c>
      <c r="H12" s="5">
        <v>1.45</v>
      </c>
      <c r="I12" s="5">
        <v>0.45</v>
      </c>
      <c r="J12" s="5">
        <v>0.78</v>
      </c>
      <c r="K12" s="3">
        <v>0.96830000000000005</v>
      </c>
      <c r="L12" s="3">
        <v>0.99670000000000003</v>
      </c>
      <c r="M12" s="3">
        <v>0.99009999999999998</v>
      </c>
      <c r="N12" s="4">
        <v>1.58</v>
      </c>
      <c r="O12" s="4">
        <v>1.01</v>
      </c>
      <c r="P12" s="3">
        <v>0.96509999999999996</v>
      </c>
      <c r="Q12" s="3">
        <v>0.98680000000000001</v>
      </c>
    </row>
    <row r="13" spans="1:17" x14ac:dyDescent="0.25">
      <c r="A13" s="2" t="s">
        <v>17</v>
      </c>
      <c r="B13" s="2">
        <v>-25.89</v>
      </c>
      <c r="C13" s="2">
        <v>27.687000000000001</v>
      </c>
      <c r="D13" s="2">
        <v>1414.3</v>
      </c>
      <c r="E13" s="4">
        <v>1.1399999999999999</v>
      </c>
      <c r="F13" s="4">
        <v>0.59</v>
      </c>
      <c r="G13" s="4">
        <v>0.78</v>
      </c>
      <c r="H13" s="5">
        <v>1.1499999999999999</v>
      </c>
      <c r="I13" s="5">
        <v>0.59</v>
      </c>
      <c r="J13" s="5">
        <v>0.76</v>
      </c>
      <c r="K13" s="3">
        <v>0.99160000000000004</v>
      </c>
      <c r="L13" s="3">
        <v>0.99770000000000003</v>
      </c>
      <c r="M13" s="3">
        <v>0.99609999999999999</v>
      </c>
      <c r="N13" s="4">
        <v>1.41</v>
      </c>
      <c r="O13" s="4">
        <v>1.08</v>
      </c>
      <c r="P13" s="3">
        <v>0.98929999999999996</v>
      </c>
      <c r="Q13" s="3">
        <v>0.99390000000000001</v>
      </c>
    </row>
    <row r="14" spans="1:17" x14ac:dyDescent="0.25">
      <c r="A14" s="2" t="s">
        <v>18</v>
      </c>
      <c r="B14" s="2">
        <v>-2.996</v>
      </c>
      <c r="C14" s="2">
        <v>40.194000000000003</v>
      </c>
      <c r="D14" s="2">
        <v>-20.399999999999999</v>
      </c>
      <c r="E14" s="4">
        <v>1.4</v>
      </c>
      <c r="F14" s="4">
        <v>0.94</v>
      </c>
      <c r="G14" s="4">
        <v>0.93</v>
      </c>
      <c r="H14" s="5">
        <v>1.37</v>
      </c>
      <c r="I14" s="5">
        <v>0.92</v>
      </c>
      <c r="J14" s="5">
        <v>0.95</v>
      </c>
      <c r="K14" s="3">
        <v>0.98109999999999997</v>
      </c>
      <c r="L14" s="3">
        <v>0.99209999999999998</v>
      </c>
      <c r="M14" s="3">
        <v>0.99139999999999995</v>
      </c>
      <c r="N14" s="4">
        <v>1.85</v>
      </c>
      <c r="O14" s="4">
        <v>1.37</v>
      </c>
      <c r="P14" s="3">
        <v>0.97330000000000005</v>
      </c>
      <c r="Q14" s="3">
        <v>0.98360000000000003</v>
      </c>
    </row>
    <row r="15" spans="1:17" x14ac:dyDescent="0.25">
      <c r="A15" s="2" t="s">
        <v>19</v>
      </c>
      <c r="B15" s="2">
        <v>-0.60099999999999998</v>
      </c>
      <c r="C15" s="2">
        <v>30.738</v>
      </c>
      <c r="D15" s="2">
        <v>1337.653</v>
      </c>
      <c r="E15" s="4">
        <v>1.22</v>
      </c>
      <c r="F15" s="4">
        <v>0.96</v>
      </c>
      <c r="G15" s="4">
        <v>1.54</v>
      </c>
      <c r="H15" s="5">
        <v>1.23</v>
      </c>
      <c r="I15" s="5">
        <v>0.93</v>
      </c>
      <c r="J15" s="5">
        <v>1.52</v>
      </c>
      <c r="K15" s="3">
        <v>0.95860000000000001</v>
      </c>
      <c r="L15" s="3">
        <v>0.97799999999999998</v>
      </c>
      <c r="M15" s="3">
        <v>0.93420000000000003</v>
      </c>
      <c r="N15" s="4">
        <v>1.57</v>
      </c>
      <c r="O15" s="4">
        <v>1.84</v>
      </c>
      <c r="P15" s="3">
        <v>0.93740000000000001</v>
      </c>
      <c r="Q15" s="3">
        <v>0.91359999999999997</v>
      </c>
    </row>
    <row r="16" spans="1:17" x14ac:dyDescent="0.25">
      <c r="A16" s="2" t="s">
        <v>20</v>
      </c>
      <c r="B16" s="2">
        <v>-25.805</v>
      </c>
      <c r="C16" s="2">
        <v>25.54</v>
      </c>
      <c r="D16" s="2">
        <v>1310.9</v>
      </c>
      <c r="E16" s="4">
        <v>1.31</v>
      </c>
      <c r="F16" s="4">
        <v>0.7</v>
      </c>
      <c r="G16" s="4">
        <v>0.82</v>
      </c>
      <c r="H16" s="5">
        <v>1.31</v>
      </c>
      <c r="I16" s="5">
        <v>0.69</v>
      </c>
      <c r="J16" s="5">
        <v>0.82</v>
      </c>
      <c r="K16" s="3">
        <v>0.98899999999999999</v>
      </c>
      <c r="L16" s="3">
        <v>0.997</v>
      </c>
      <c r="M16" s="3">
        <v>0.99570000000000003</v>
      </c>
      <c r="N16" s="4">
        <v>1.49</v>
      </c>
      <c r="O16" s="4">
        <v>1.1299999999999999</v>
      </c>
      <c r="P16" s="3">
        <v>0.98609999999999998</v>
      </c>
      <c r="Q16" s="3">
        <v>0.99270000000000003</v>
      </c>
    </row>
    <row r="17" spans="1:17" x14ac:dyDescent="0.25">
      <c r="A17" s="2" t="s">
        <v>21</v>
      </c>
      <c r="B17" s="2">
        <v>0.28799999999999998</v>
      </c>
      <c r="C17" s="2">
        <v>35.29</v>
      </c>
      <c r="D17" s="2">
        <v>2201.5320000000002</v>
      </c>
      <c r="E17" s="4">
        <v>1.18</v>
      </c>
      <c r="F17" s="4">
        <v>0.69</v>
      </c>
      <c r="G17" s="4">
        <v>0.79</v>
      </c>
      <c r="H17" s="5">
        <v>1.1499999999999999</v>
      </c>
      <c r="I17" s="5">
        <v>0.72</v>
      </c>
      <c r="J17" s="5">
        <v>0.7</v>
      </c>
      <c r="K17" s="3">
        <v>0.96860000000000002</v>
      </c>
      <c r="L17" s="3">
        <v>0.98670000000000002</v>
      </c>
      <c r="M17" s="3">
        <v>0.98529999999999995</v>
      </c>
      <c r="N17" s="4">
        <v>1.44</v>
      </c>
      <c r="O17" s="4">
        <v>1.07</v>
      </c>
      <c r="P17" s="3">
        <v>0.95569999999999999</v>
      </c>
      <c r="Q17" s="3">
        <v>0.97209999999999996</v>
      </c>
    </row>
    <row r="18" spans="1:17" x14ac:dyDescent="0.25">
      <c r="A18" s="2" t="s">
        <v>22</v>
      </c>
      <c r="B18" s="2">
        <v>0.35399999999999998</v>
      </c>
      <c r="C18" s="2">
        <v>9.6720000000000006</v>
      </c>
      <c r="D18" s="2">
        <v>31.495999999999999</v>
      </c>
      <c r="E18" s="4">
        <v>1.53</v>
      </c>
      <c r="F18" s="4">
        <v>0.85</v>
      </c>
      <c r="G18" s="4">
        <v>0.73</v>
      </c>
      <c r="H18" s="5">
        <v>1.54</v>
      </c>
      <c r="I18" s="5">
        <v>0.85</v>
      </c>
      <c r="J18" s="5">
        <v>0.72</v>
      </c>
      <c r="K18" s="3">
        <v>0.94879999999999998</v>
      </c>
      <c r="L18" s="3">
        <v>0.9839</v>
      </c>
      <c r="M18" s="3">
        <v>0.98750000000000004</v>
      </c>
      <c r="N18" s="4">
        <v>1.76</v>
      </c>
      <c r="O18" s="4">
        <v>1.1299999999999999</v>
      </c>
      <c r="P18" s="3">
        <v>0.9335</v>
      </c>
      <c r="Q18" s="3">
        <v>0.97170000000000001</v>
      </c>
    </row>
    <row r="19" spans="1:17" x14ac:dyDescent="0.25">
      <c r="A19" s="2" t="s">
        <v>23</v>
      </c>
      <c r="B19" s="2">
        <v>-1.94</v>
      </c>
      <c r="C19" s="2">
        <v>30.09</v>
      </c>
      <c r="D19" s="2">
        <v>1485.3</v>
      </c>
      <c r="E19" s="4">
        <v>1.87</v>
      </c>
      <c r="F19" s="4">
        <v>0.5</v>
      </c>
      <c r="G19" s="4">
        <v>1.39</v>
      </c>
      <c r="H19" s="5">
        <v>1.88</v>
      </c>
      <c r="I19" s="5">
        <v>0.46</v>
      </c>
      <c r="J19" s="5">
        <v>1.28</v>
      </c>
      <c r="K19" s="3">
        <v>0.90390000000000004</v>
      </c>
      <c r="L19" s="3">
        <v>0.99309999999999998</v>
      </c>
      <c r="M19" s="3">
        <v>0.96179999999999999</v>
      </c>
      <c r="N19" s="4">
        <v>1.93</v>
      </c>
      <c r="O19" s="4">
        <v>1.88</v>
      </c>
      <c r="P19" s="3">
        <v>0.89770000000000005</v>
      </c>
      <c r="Q19" s="3">
        <v>0.95520000000000005</v>
      </c>
    </row>
    <row r="20" spans="1:17" x14ac:dyDescent="0.25">
      <c r="A20" s="2" t="s">
        <v>24</v>
      </c>
      <c r="B20" s="2">
        <v>33.997999999999998</v>
      </c>
      <c r="C20" s="2">
        <v>-6.8540000000000001</v>
      </c>
      <c r="D20" s="2">
        <v>90.1</v>
      </c>
      <c r="E20" s="4">
        <v>1.1299999999999999</v>
      </c>
      <c r="F20" s="4">
        <v>0.83</v>
      </c>
      <c r="G20" s="4">
        <v>0.93</v>
      </c>
      <c r="H20" s="5">
        <v>1.1399999999999999</v>
      </c>
      <c r="I20" s="5">
        <v>0.8</v>
      </c>
      <c r="J20" s="5">
        <v>0.92</v>
      </c>
      <c r="K20" s="3">
        <v>0.98650000000000004</v>
      </c>
      <c r="L20" s="3">
        <v>0.99370000000000003</v>
      </c>
      <c r="M20" s="3">
        <v>0.99099999999999999</v>
      </c>
      <c r="N20" s="4">
        <v>1.49</v>
      </c>
      <c r="O20" s="4">
        <v>1.29</v>
      </c>
      <c r="P20" s="3">
        <v>0.98029999999999995</v>
      </c>
      <c r="Q20" s="3">
        <v>0.98480000000000001</v>
      </c>
    </row>
    <row r="21" spans="1:17" x14ac:dyDescent="0.25">
      <c r="A21" s="2" t="s">
        <v>25</v>
      </c>
      <c r="B21" s="2">
        <v>-28.795999999999999</v>
      </c>
      <c r="C21" s="2">
        <v>32.078000000000003</v>
      </c>
      <c r="D21" s="2">
        <v>31.792999999999999</v>
      </c>
      <c r="E21" s="4">
        <v>1.9</v>
      </c>
      <c r="F21" s="4">
        <v>0.43</v>
      </c>
      <c r="G21" s="4">
        <v>1.07</v>
      </c>
      <c r="H21" s="5">
        <v>1.9</v>
      </c>
      <c r="I21" s="5">
        <v>0.43</v>
      </c>
      <c r="J21" s="5">
        <v>1.07</v>
      </c>
      <c r="K21" s="3">
        <v>0.98350000000000004</v>
      </c>
      <c r="L21" s="3">
        <v>0.99919999999999998</v>
      </c>
      <c r="M21" s="3">
        <v>0.99470000000000003</v>
      </c>
      <c r="N21" s="4">
        <v>2.41</v>
      </c>
      <c r="O21" s="4">
        <v>1.2</v>
      </c>
      <c r="P21" s="3">
        <v>0.98270000000000002</v>
      </c>
      <c r="Q21" s="3">
        <v>0.99380000000000002</v>
      </c>
    </row>
    <row r="22" spans="1:17" x14ac:dyDescent="0.25">
      <c r="A22" s="2" t="s">
        <v>26</v>
      </c>
      <c r="B22" s="2">
        <v>-1.2210000000000001</v>
      </c>
      <c r="C22" s="2">
        <v>36.893999999999998</v>
      </c>
      <c r="D22" s="2">
        <v>1607.54</v>
      </c>
      <c r="E22" s="4">
        <v>1.35</v>
      </c>
      <c r="F22" s="4">
        <v>0.55000000000000004</v>
      </c>
      <c r="G22" s="4">
        <v>0.75</v>
      </c>
      <c r="H22" s="5">
        <v>1.34</v>
      </c>
      <c r="I22" s="5">
        <v>0.53</v>
      </c>
      <c r="J22" s="5">
        <v>0.76</v>
      </c>
      <c r="K22" s="3">
        <v>0.96830000000000005</v>
      </c>
      <c r="L22" s="3">
        <v>0.99450000000000005</v>
      </c>
      <c r="M22" s="3">
        <v>0.98919999999999997</v>
      </c>
      <c r="N22" s="4">
        <v>2.7</v>
      </c>
      <c r="O22" s="4">
        <v>0.94</v>
      </c>
      <c r="P22" s="3">
        <v>0.96299999999999997</v>
      </c>
      <c r="Q22" s="3">
        <v>0.98380000000000001</v>
      </c>
    </row>
    <row r="23" spans="1:17" x14ac:dyDescent="0.25">
      <c r="A23" s="2" t="s">
        <v>27</v>
      </c>
      <c r="B23" s="2">
        <v>-29.669</v>
      </c>
      <c r="C23" s="2">
        <v>17.879000000000001</v>
      </c>
      <c r="D23" s="2">
        <v>1043.0999999999999</v>
      </c>
      <c r="E23" s="4">
        <v>0.95</v>
      </c>
      <c r="F23" s="4">
        <v>0.45</v>
      </c>
      <c r="G23" s="4">
        <v>0.68</v>
      </c>
      <c r="H23" s="5">
        <v>0.95</v>
      </c>
      <c r="I23" s="5">
        <v>0.39</v>
      </c>
      <c r="J23" s="5">
        <v>0.68</v>
      </c>
      <c r="K23" s="3">
        <v>0.9819</v>
      </c>
      <c r="L23" s="3">
        <v>0.99719999999999998</v>
      </c>
      <c r="M23" s="3">
        <v>0.99070000000000003</v>
      </c>
      <c r="N23" s="4">
        <v>1.06</v>
      </c>
      <c r="O23" s="4">
        <v>0.82</v>
      </c>
      <c r="P23" s="3">
        <v>0.97919999999999996</v>
      </c>
      <c r="Q23" s="3">
        <v>0.98799999999999999</v>
      </c>
    </row>
    <row r="24" spans="1:17" x14ac:dyDescent="0.25">
      <c r="A24" s="2" t="s">
        <v>28</v>
      </c>
      <c r="B24" s="2">
        <v>-4.6740000000000004</v>
      </c>
      <c r="C24" s="2">
        <v>55.478999999999999</v>
      </c>
      <c r="D24" s="2">
        <v>538.81600000000003</v>
      </c>
      <c r="E24" s="4">
        <v>1.71</v>
      </c>
      <c r="F24" s="4">
        <v>1.29</v>
      </c>
      <c r="G24" s="4">
        <v>0.7</v>
      </c>
      <c r="H24" s="5">
        <v>1.61</v>
      </c>
      <c r="I24" s="5">
        <v>1.26</v>
      </c>
      <c r="J24" s="5">
        <v>0.75</v>
      </c>
      <c r="K24" s="3">
        <v>0.97799999999999998</v>
      </c>
      <c r="L24" s="3">
        <v>0.98850000000000005</v>
      </c>
      <c r="M24" s="3">
        <v>0.99570000000000003</v>
      </c>
      <c r="N24" s="4">
        <v>2.2200000000000002</v>
      </c>
      <c r="O24" s="4">
        <v>1.48</v>
      </c>
      <c r="P24" s="3">
        <v>0.96679999999999999</v>
      </c>
      <c r="Q24" s="3">
        <v>0.98429999999999995</v>
      </c>
    </row>
    <row r="25" spans="1:17" x14ac:dyDescent="0.25">
      <c r="A25" s="2" t="s">
        <v>29</v>
      </c>
      <c r="B25" s="2">
        <v>-4.6790000000000003</v>
      </c>
      <c r="C25" s="2">
        <v>55.530999999999999</v>
      </c>
      <c r="D25" s="2">
        <v>-37.085000000000001</v>
      </c>
      <c r="E25" s="4">
        <v>1.65</v>
      </c>
      <c r="F25" s="4">
        <v>1.24</v>
      </c>
      <c r="G25" s="4">
        <v>0.81</v>
      </c>
      <c r="H25" s="5">
        <v>1.6</v>
      </c>
      <c r="I25" s="5">
        <v>1.21</v>
      </c>
      <c r="J25" s="5">
        <v>0.84</v>
      </c>
      <c r="K25" s="3">
        <v>0.98</v>
      </c>
      <c r="L25" s="3">
        <v>0.98970000000000002</v>
      </c>
      <c r="M25" s="3">
        <v>0.99490000000000001</v>
      </c>
      <c r="N25" s="4">
        <v>2.0699999999999998</v>
      </c>
      <c r="O25" s="4">
        <v>1.48</v>
      </c>
      <c r="P25" s="3">
        <v>0.96989999999999998</v>
      </c>
      <c r="Q25" s="3">
        <v>0.98460000000000003</v>
      </c>
    </row>
    <row r="26" spans="1:17" x14ac:dyDescent="0.25">
      <c r="A26" s="2" t="s">
        <v>30</v>
      </c>
      <c r="B26" s="2">
        <v>-32.380000000000003</v>
      </c>
      <c r="C26" s="2">
        <v>20.81</v>
      </c>
      <c r="D26" s="2">
        <v>1799.7660000000001</v>
      </c>
      <c r="E26" s="4">
        <v>0.91</v>
      </c>
      <c r="F26" s="4">
        <v>0.28999999999999998</v>
      </c>
      <c r="G26" s="4">
        <v>0.62</v>
      </c>
      <c r="H26" s="5">
        <v>0.92</v>
      </c>
      <c r="I26" s="5">
        <v>0.25</v>
      </c>
      <c r="J26" s="5">
        <v>0.61</v>
      </c>
      <c r="K26" s="3">
        <v>0.9768</v>
      </c>
      <c r="L26" s="3">
        <v>0.99839999999999995</v>
      </c>
      <c r="M26" s="3">
        <v>0.98919999999999997</v>
      </c>
      <c r="N26" s="4">
        <v>0.99</v>
      </c>
      <c r="O26" s="4">
        <v>0.71</v>
      </c>
      <c r="P26" s="3">
        <v>0.97509999999999997</v>
      </c>
      <c r="Q26" s="3">
        <v>0.98760000000000003</v>
      </c>
    </row>
    <row r="27" spans="1:17" x14ac:dyDescent="0.25">
      <c r="A27" s="2" t="s">
        <v>31</v>
      </c>
      <c r="B27" s="2">
        <v>-32.381</v>
      </c>
      <c r="C27" s="2">
        <v>20.811</v>
      </c>
      <c r="D27" s="2">
        <v>1797.6</v>
      </c>
      <c r="E27" s="4">
        <v>0.98</v>
      </c>
      <c r="F27" s="4">
        <v>0.31</v>
      </c>
      <c r="G27" s="4">
        <v>0.63</v>
      </c>
      <c r="H27" s="5">
        <v>0.98</v>
      </c>
      <c r="I27" s="5">
        <v>0.23</v>
      </c>
      <c r="J27" s="5">
        <v>0.62</v>
      </c>
      <c r="K27" s="3">
        <v>0.97219999999999995</v>
      </c>
      <c r="L27" s="3">
        <v>0.99860000000000004</v>
      </c>
      <c r="M27" s="3">
        <v>0.98839999999999995</v>
      </c>
      <c r="N27" s="4">
        <v>1.08</v>
      </c>
      <c r="O27" s="4">
        <v>0.72</v>
      </c>
      <c r="P27" s="3">
        <v>0.9708</v>
      </c>
      <c r="Q27" s="3">
        <v>0.98699999999999999</v>
      </c>
    </row>
    <row r="28" spans="1:17" x14ac:dyDescent="0.25">
      <c r="A28" s="2" t="s">
        <v>32</v>
      </c>
      <c r="B28" s="2">
        <v>-23.08</v>
      </c>
      <c r="C28" s="2">
        <v>30.384</v>
      </c>
      <c r="D28" s="2">
        <v>630.20000000000005</v>
      </c>
      <c r="E28" s="4">
        <v>1.51</v>
      </c>
      <c r="F28" s="4">
        <v>0.74</v>
      </c>
      <c r="G28" s="4">
        <v>1.04</v>
      </c>
      <c r="H28" s="5">
        <v>1.51</v>
      </c>
      <c r="I28" s="5">
        <v>0.75</v>
      </c>
      <c r="J28" s="5">
        <v>1.03</v>
      </c>
      <c r="K28" s="3">
        <v>0.99039999999999995</v>
      </c>
      <c r="L28" s="3">
        <v>0.99760000000000004</v>
      </c>
      <c r="M28" s="3">
        <v>0.99539999999999995</v>
      </c>
      <c r="N28" s="4">
        <v>1.84</v>
      </c>
      <c r="O28" s="4">
        <v>1.28</v>
      </c>
      <c r="P28" s="3">
        <v>0.98799999999999999</v>
      </c>
      <c r="Q28" s="3">
        <v>0.99299999999999999</v>
      </c>
    </row>
    <row r="29" spans="1:17" x14ac:dyDescent="0.25">
      <c r="A29" s="2" t="s">
        <v>33</v>
      </c>
      <c r="B29" s="2">
        <v>-28.292999999999999</v>
      </c>
      <c r="C29" s="2">
        <v>31.420999999999999</v>
      </c>
      <c r="D29" s="2">
        <v>607.9</v>
      </c>
      <c r="E29" s="4">
        <v>1.6</v>
      </c>
      <c r="F29" s="4">
        <v>0.49</v>
      </c>
      <c r="G29" s="4">
        <v>1.1299999999999999</v>
      </c>
      <c r="H29" s="5">
        <v>1.6</v>
      </c>
      <c r="I29" s="5">
        <v>0.5</v>
      </c>
      <c r="J29" s="5">
        <v>1.1200000000000001</v>
      </c>
      <c r="K29" s="3">
        <v>0.98719999999999997</v>
      </c>
      <c r="L29" s="3">
        <v>0.99870000000000003</v>
      </c>
      <c r="M29" s="3">
        <v>0.99339999999999995</v>
      </c>
      <c r="N29" s="4">
        <v>1.76</v>
      </c>
      <c r="O29" s="4">
        <v>1.28</v>
      </c>
      <c r="P29" s="3">
        <v>0.9859</v>
      </c>
      <c r="Q29" s="3">
        <v>0.99209999999999998</v>
      </c>
    </row>
    <row r="30" spans="1:17" x14ac:dyDescent="0.25">
      <c r="A30" s="2" t="s">
        <v>34</v>
      </c>
      <c r="B30" s="2">
        <v>-20.297000000000001</v>
      </c>
      <c r="C30" s="2">
        <v>57.497</v>
      </c>
      <c r="D30" s="2">
        <v>420.4</v>
      </c>
      <c r="E30" s="4">
        <v>1.6</v>
      </c>
      <c r="F30" s="4">
        <v>0.93</v>
      </c>
      <c r="G30" s="4">
        <v>1.0900000000000001</v>
      </c>
      <c r="H30" s="5">
        <v>1.59</v>
      </c>
      <c r="I30" s="5">
        <v>0.86</v>
      </c>
      <c r="J30" s="5">
        <v>1.1000000000000001</v>
      </c>
      <c r="K30" s="3">
        <v>0.98809999999999998</v>
      </c>
      <c r="L30" s="3">
        <v>0.99670000000000003</v>
      </c>
      <c r="M30" s="3">
        <v>0.99429999999999996</v>
      </c>
      <c r="N30" s="4">
        <v>1.95</v>
      </c>
      <c r="O30" s="4">
        <v>1.43</v>
      </c>
      <c r="P30" s="3">
        <v>0.98480000000000001</v>
      </c>
      <c r="Q30" s="3">
        <v>0.99109999999999998</v>
      </c>
    </row>
    <row r="31" spans="1:17" x14ac:dyDescent="0.25">
      <c r="A31" s="2" t="s">
        <v>35</v>
      </c>
      <c r="B31" s="2">
        <v>-22.574999999999999</v>
      </c>
      <c r="C31" s="2">
        <v>17.088999999999999</v>
      </c>
      <c r="D31" s="2">
        <v>1734.7</v>
      </c>
      <c r="E31" s="4">
        <v>1.1200000000000001</v>
      </c>
      <c r="F31" s="4">
        <v>0.63</v>
      </c>
      <c r="G31" s="4">
        <v>0.78</v>
      </c>
      <c r="H31" s="5">
        <v>1.1100000000000001</v>
      </c>
      <c r="I31" s="5">
        <v>0.64</v>
      </c>
      <c r="J31" s="5">
        <v>0.69</v>
      </c>
      <c r="K31" s="3">
        <v>0.98899999999999999</v>
      </c>
      <c r="L31" s="3">
        <v>0.99619999999999997</v>
      </c>
      <c r="M31" s="3">
        <v>0.99529999999999996</v>
      </c>
      <c r="N31" s="4">
        <v>1.44</v>
      </c>
      <c r="O31" s="4">
        <v>1.04</v>
      </c>
      <c r="P31" s="3">
        <v>0.98529999999999995</v>
      </c>
      <c r="Q31" s="3">
        <v>0.99150000000000005</v>
      </c>
    </row>
    <row r="32" spans="1:17" x14ac:dyDescent="0.25">
      <c r="A32" s="2" t="s">
        <v>36</v>
      </c>
      <c r="B32" s="2">
        <v>6.8710000000000004</v>
      </c>
      <c r="C32" s="2">
        <v>-5.24</v>
      </c>
      <c r="D32" s="2">
        <v>270</v>
      </c>
      <c r="E32" s="4">
        <v>1.95</v>
      </c>
      <c r="F32" s="4">
        <v>1.1100000000000001</v>
      </c>
      <c r="G32" s="4">
        <v>0.86</v>
      </c>
      <c r="H32" s="5">
        <v>1.97</v>
      </c>
      <c r="I32" s="5">
        <v>1</v>
      </c>
      <c r="J32" s="5">
        <v>0.8</v>
      </c>
      <c r="K32" s="3">
        <v>0.97230000000000005</v>
      </c>
      <c r="L32" s="3">
        <v>0.99180000000000001</v>
      </c>
      <c r="M32" s="3">
        <v>0.99539999999999995</v>
      </c>
      <c r="N32" s="4">
        <v>2.33</v>
      </c>
      <c r="O32" s="4">
        <v>1.4</v>
      </c>
      <c r="P32" s="3">
        <v>0.96430000000000005</v>
      </c>
      <c r="Q32" s="3">
        <v>0.98729999999999996</v>
      </c>
    </row>
    <row r="33" spans="1:17" x14ac:dyDescent="0.25">
      <c r="A33" s="2" t="s">
        <v>37</v>
      </c>
      <c r="B33" s="2">
        <v>-15.426</v>
      </c>
      <c r="C33" s="2">
        <v>28.311</v>
      </c>
      <c r="D33" s="2">
        <v>1324.914</v>
      </c>
      <c r="E33" s="4">
        <v>1.03</v>
      </c>
      <c r="F33" s="4">
        <v>0.72</v>
      </c>
      <c r="G33" s="4">
        <v>0.76</v>
      </c>
      <c r="H33" s="5">
        <v>1.02</v>
      </c>
      <c r="I33" s="5">
        <v>0.72</v>
      </c>
      <c r="J33" s="5">
        <v>0.76</v>
      </c>
      <c r="K33" s="3">
        <v>0.99550000000000005</v>
      </c>
      <c r="L33" s="3">
        <v>0.99770000000000003</v>
      </c>
      <c r="M33" s="3">
        <v>0.99750000000000005</v>
      </c>
      <c r="N33" s="4">
        <v>1.39</v>
      </c>
      <c r="O33" s="4">
        <v>1.2</v>
      </c>
      <c r="P33" s="3">
        <v>0.99319999999999997</v>
      </c>
      <c r="Q33" s="3">
        <v>0.99519999999999997</v>
      </c>
    </row>
    <row r="34" spans="1:17" x14ac:dyDescent="0.25">
      <c r="A34" s="1" t="s">
        <v>53</v>
      </c>
      <c r="E34" s="7">
        <f t="shared" ref="E34:Q34" si="0">AVERAGE(E3:E33)</f>
        <v>1.3829032258064513</v>
      </c>
      <c r="F34" s="7">
        <f t="shared" si="0"/>
        <v>0.72677419354838679</v>
      </c>
      <c r="G34" s="7">
        <f t="shared" si="0"/>
        <v>0.84483870967741925</v>
      </c>
      <c r="H34" s="7">
        <f t="shared" si="0"/>
        <v>1.3645161290322581</v>
      </c>
      <c r="I34" s="7">
        <f t="shared" si="0"/>
        <v>0.70354838709677414</v>
      </c>
      <c r="J34" s="7">
        <f t="shared" si="0"/>
        <v>0.83032258064516151</v>
      </c>
      <c r="K34" s="6">
        <f t="shared" si="0"/>
        <v>0.96973548387096786</v>
      </c>
      <c r="L34" s="6">
        <f t="shared" si="0"/>
        <v>0.99175483870967718</v>
      </c>
      <c r="M34" s="6">
        <f t="shared" si="0"/>
        <v>0.99073548387096777</v>
      </c>
      <c r="N34" s="7">
        <f t="shared" si="0"/>
        <v>1.7222580645161292</v>
      </c>
      <c r="O34" s="7">
        <f t="shared" si="0"/>
        <v>1.2087096774193549</v>
      </c>
      <c r="P34" s="6">
        <f t="shared" si="0"/>
        <v>0.96250645161290327</v>
      </c>
      <c r="Q34" s="6">
        <f t="shared" si="0"/>
        <v>0.98259677419354829</v>
      </c>
    </row>
  </sheetData>
  <mergeCells count="4">
    <mergeCell ref="N1:Q1"/>
    <mergeCell ref="E1:G1"/>
    <mergeCell ref="B1:D1"/>
    <mergeCell ref="H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OSAH SAMUEL</dc:creator>
  <cp:lastModifiedBy>OSSAH SAMUEL</cp:lastModifiedBy>
  <dcterms:created xsi:type="dcterms:W3CDTF">2024-07-13T07:42:28Z</dcterms:created>
  <dcterms:modified xsi:type="dcterms:W3CDTF">2025-07-20T15:17:55Z</dcterms:modified>
</cp:coreProperties>
</file>